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0" yWindow="600" windowWidth="19200" windowHeight="1982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#,##0.0_ ;[Red]\-#,##0.0\ "/>
    <numFmt numFmtId="165" formatCode="_-* #,##0.00\ [$€-407]_-;\-* #,##0.00\ [$€-407]_-;_-* &quot;-&quot;??\ [$€-407]_-;_-@_-"/>
    <numFmt numFmtId="166" formatCode="_-* #,##0.00\ &quot;€&quot;_-;\-* #,##0.00\ &quot;€&quot;_-;_-* &quot;-&quot;??\ &quot;€&quot;_-;_-@_-"/>
    <numFmt numFmtId="167" formatCode="0.0%"/>
    <numFmt numFmtId="168" formatCode="#,##0.00_ ;\-#,##0.00\ "/>
    <numFmt numFmtId="169" formatCode="@_o"/>
    <numFmt numFmtId="170" formatCode="#,##0.00\ &quot;€&quot;"/>
    <numFmt numFmtId="171" formatCode="00&quot;.&quot;"/>
    <numFmt numFmtId="172" formatCode="#,##0.00_ ;[Red]\-#,##0.00\ "/>
    <numFmt numFmtId="173" formatCode="#,##0.00\ [$€-1];[Red]\-#,##0.00\ [$€-1]"/>
    <numFmt numFmtId="174" formatCode="#,##0.00\ [$€-1];\-#,##0.00\ [$€-1]"/>
    <numFmt numFmtId="175" formatCode="h:mm;@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2"/>
    </font>
    <font>
      <name val="Arial Black"/>
      <family val="2"/>
      <b val="1"/>
      <sz val="20"/>
    </font>
    <font>
      <name val="Arial"/>
      <family val="2"/>
      <b val="1"/>
      <sz val="10"/>
    </font>
    <font>
      <name val="Calibri"/>
      <family val="2"/>
      <sz val="10"/>
    </font>
    <font>
      <name val="Arial"/>
      <family val="2"/>
      <b val="1"/>
      <sz val="14"/>
    </font>
    <font>
      <name val="Arial"/>
      <family val="2"/>
      <b val="1"/>
      <color indexed="1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i val="1"/>
      <color indexed="10"/>
      <sz val="10"/>
    </font>
    <font>
      <name val="Arial"/>
      <family val="2"/>
      <sz val="7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Calibri"/>
      <family val="2"/>
      <color rgb="FF006100"/>
      <sz val="11"/>
      <scheme val="minor"/>
    </font>
    <font>
      <name val="Segoe UI"/>
      <family val="2"/>
      <color theme="1"/>
      <sz val="11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35628B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44" fontId="1" fillId="0" borderId="0"/>
    <xf numFmtId="9" fontId="1" fillId="0" borderId="0"/>
    <xf numFmtId="0" fontId="17" fillId="6" borderId="0"/>
  </cellStyleXfs>
  <cellXfs count="10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2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2" fillId="2" borderId="0" applyAlignment="1" pivotButton="0" quotePrefix="0" xfId="1">
      <alignment horizontal="center" vertical="center"/>
    </xf>
    <xf numFmtId="0" fontId="2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165" fontId="5" fillId="2" borderId="3" applyAlignment="1" applyProtection="1" pivotButton="0" quotePrefix="0" xfId="0">
      <alignment horizontal="center" vertical="center"/>
      <protection locked="0" hidden="0"/>
    </xf>
    <xf numFmtId="166" fontId="2" fillId="2" borderId="0" applyAlignment="1" pivotButton="0" quotePrefix="0" xfId="2">
      <alignment horizontal="left" vertical="top"/>
    </xf>
    <xf numFmtId="0" fontId="2" fillId="3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7" fontId="2" fillId="3" borderId="0" applyAlignment="1" pivotButton="0" quotePrefix="0" xfId="3">
      <alignment horizontal="center" vertical="center"/>
    </xf>
    <xf numFmtId="168" fontId="2" fillId="2" borderId="3" applyAlignment="1" applyProtection="1" pivotButton="0" quotePrefix="0" xfId="0">
      <alignment horizontal="center" vertical="center"/>
      <protection locked="0" hidden="0"/>
    </xf>
    <xf numFmtId="0" fontId="5" fillId="3" borderId="0" applyAlignment="1" pivotButton="0" quotePrefix="0" xfId="0">
      <alignment horizontal="right" vertical="center"/>
    </xf>
    <xf numFmtId="0" fontId="5" fillId="2" borderId="3" applyAlignment="1" applyProtection="1" pivotButton="0" quotePrefix="0" xfId="0">
      <alignment horizontal="center" vertical="center"/>
      <protection locked="0" hidden="0"/>
    </xf>
    <xf numFmtId="0" fontId="5" fillId="3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right" vertical="center"/>
    </xf>
    <xf numFmtId="168" fontId="5" fillId="4" borderId="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20" fontId="2" fillId="2" borderId="0" applyAlignment="1" applyProtection="1" pivotButton="0" quotePrefix="0" xfId="0">
      <alignment horizontal="center" vertical="center"/>
      <protection locked="0" hidden="0"/>
    </xf>
    <xf numFmtId="169" fontId="5" fillId="2" borderId="0" applyAlignment="1" pivotButton="0" quotePrefix="0" xfId="0">
      <alignment horizontal="right" vertical="center"/>
    </xf>
    <xf numFmtId="0" fontId="2" fillId="2" borderId="10" applyAlignment="1" applyProtection="1" pivotButton="0" quotePrefix="0" xfId="0">
      <alignment vertical="center"/>
      <protection locked="0" hidden="0"/>
    </xf>
    <xf numFmtId="0" fontId="2" fillId="2" borderId="4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" fontId="5" fillId="4" borderId="9" applyAlignment="1" pivotButton="0" quotePrefix="0" xfId="0">
      <alignment horizontal="center" vertical="center"/>
    </xf>
    <xf numFmtId="0" fontId="2" fillId="2" borderId="11" applyAlignment="1" applyProtection="1" pivotButton="0" quotePrefix="0" xfId="0">
      <alignment vertical="center"/>
      <protection locked="0" hidden="0"/>
    </xf>
    <xf numFmtId="164" fontId="2" fillId="2" borderId="12" applyAlignment="1" applyProtection="1" pivotButton="0" quotePrefix="0" xfId="1">
      <alignment horizontal="center" vertical="center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49" fontId="2" fillId="2" borderId="14" applyAlignment="1" pivotButton="0" quotePrefix="0" xfId="0">
      <alignment horizontal="center" vertical="center"/>
    </xf>
    <xf numFmtId="4" fontId="5" fillId="4" borderId="15" applyAlignment="1" pivotButton="0" quotePrefix="0" xfId="0">
      <alignment horizontal="center" vertical="center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right" vertical="center"/>
      <protection locked="0" hidden="0"/>
    </xf>
    <xf numFmtId="169" fontId="5" fillId="2" borderId="0" applyAlignment="1" applyProtection="1" pivotButton="0" quotePrefix="0" xfId="0">
      <alignment horizontal="right" vertical="center"/>
      <protection locked="0" hidden="0"/>
    </xf>
    <xf numFmtId="49" fontId="2" fillId="2" borderId="0" applyAlignment="1" applyProtection="1" pivotButton="0" quotePrefix="0" xfId="0">
      <alignment horizontal="center" vertical="center"/>
      <protection locked="0" hidden="0"/>
    </xf>
    <xf numFmtId="169" fontId="8" fillId="2" borderId="0" applyAlignment="1" applyProtection="1" pivotButton="0" quotePrefix="0" xfId="0">
      <alignment horizontal="right" vertical="center"/>
      <protection locked="0" hidden="0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9" fillId="5" borderId="7" applyAlignment="1" applyProtection="1" pivotButton="0" quotePrefix="0" xfId="0">
      <alignment horizontal="left" vertical="center"/>
      <protection locked="0" hidden="0"/>
    </xf>
    <xf numFmtId="0" fontId="10" fillId="5" borderId="7" applyAlignment="1" applyProtection="1" pivotButton="0" quotePrefix="0" xfId="0">
      <alignment vertical="center"/>
      <protection locked="0" hidden="0"/>
    </xf>
    <xf numFmtId="20" fontId="10" fillId="5" borderId="7" applyAlignment="1" applyProtection="1" pivotButton="0" quotePrefix="0" xfId="0">
      <alignment horizontal="center" vertical="center"/>
      <protection locked="0" hidden="0"/>
    </xf>
    <xf numFmtId="164" fontId="10" fillId="5" borderId="7" applyAlignment="1" applyProtection="1" pivotButton="0" quotePrefix="0" xfId="1">
      <alignment horizontal="center" vertical="center"/>
      <protection locked="0" hidden="0"/>
    </xf>
    <xf numFmtId="0" fontId="10" fillId="5" borderId="16" applyAlignment="1" applyProtection="1" pivotButton="0" quotePrefix="0" xfId="0">
      <alignment vertical="center"/>
      <protection locked="0" hidden="0"/>
    </xf>
    <xf numFmtId="20" fontId="5" fillId="4" borderId="17" applyAlignment="1" pivotButton="0" quotePrefix="0" xfId="0">
      <alignment horizontal="center" vertical="center"/>
    </xf>
    <xf numFmtId="20" fontId="5" fillId="4" borderId="9" applyAlignment="1" pivotButton="0" quotePrefix="0" xfId="0">
      <alignment horizontal="center" vertical="center"/>
    </xf>
    <xf numFmtId="0" fontId="2" fillId="4" borderId="15" applyAlignment="1" pivotButton="0" quotePrefix="0" xfId="0">
      <alignment vertical="center"/>
    </xf>
    <xf numFmtId="20" fontId="5" fillId="4" borderId="17" applyAlignment="1" applyProtection="1" pivotButton="0" quotePrefix="0" xfId="0">
      <alignment horizontal="center" vertical="center"/>
      <protection locked="0" hidden="0"/>
    </xf>
    <xf numFmtId="49" fontId="2" fillId="4" borderId="17" applyAlignment="1" applyProtection="1" pivotButton="0" quotePrefix="0" xfId="0">
      <alignment horizontal="center" vertical="center"/>
      <protection locked="0" hidden="0"/>
    </xf>
    <xf numFmtId="49" fontId="5" fillId="4" borderId="6" applyAlignment="1" applyProtection="1" pivotButton="0" quotePrefix="0" xfId="0">
      <alignment horizontal="center" vertical="center"/>
      <protection locked="0" hidden="0"/>
    </xf>
    <xf numFmtId="170" fontId="5" fillId="4" borderId="0" applyAlignment="1" applyProtection="1" pivotButton="0" quotePrefix="0" xfId="0">
      <alignment horizontal="center" vertical="center"/>
      <protection locked="0" hidden="0"/>
    </xf>
    <xf numFmtId="20" fontId="5" fillId="4" borderId="8" applyAlignment="1" applyProtection="1" pivotButton="0" quotePrefix="0" xfId="0">
      <alignment horizontal="center" vertical="center"/>
      <protection locked="0" hidden="0"/>
    </xf>
    <xf numFmtId="49" fontId="5" fillId="4" borderId="1" applyAlignment="1" applyProtection="1" pivotButton="0" quotePrefix="0" xfId="0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 vertical="center"/>
      <protection locked="0" hidden="0"/>
    </xf>
    <xf numFmtId="171" fontId="2" fillId="0" borderId="18" applyAlignment="1" applyProtection="1" pivotButton="0" quotePrefix="0" xfId="0">
      <alignment horizontal="center" vertical="center"/>
      <protection locked="0" hidden="0"/>
    </xf>
    <xf numFmtId="0" fontId="2" fillId="4" borderId="18" applyAlignment="1" applyProtection="1" pivotButton="0" quotePrefix="0" xfId="0">
      <alignment horizontal="center" vertical="center"/>
      <protection locked="0" hidden="0"/>
    </xf>
    <xf numFmtId="20" fontId="2" fillId="0" borderId="18" applyAlignment="1" applyProtection="1" pivotButton="0" quotePrefix="0" xfId="0">
      <alignment horizontal="center" vertical="center"/>
      <protection locked="0" hidden="0"/>
    </xf>
    <xf numFmtId="172" fontId="2" fillId="4" borderId="18" applyAlignment="1" pivotButton="0" quotePrefix="0" xfId="1">
      <alignment horizontal="center" vertical="center"/>
    </xf>
    <xf numFmtId="0" fontId="2" fillId="2" borderId="18" applyAlignment="1" applyProtection="1" pivotButton="0" quotePrefix="0" xfId="0">
      <alignment horizontal="center" vertical="center"/>
      <protection locked="0" hidden="0"/>
    </xf>
    <xf numFmtId="170" fontId="2" fillId="4" borderId="18" applyAlignment="1" pivotButton="0" quotePrefix="0" xfId="0">
      <alignment horizontal="center" vertical="center"/>
    </xf>
    <xf numFmtId="165" fontId="2" fillId="4" borderId="18" applyAlignment="1" pivotButton="0" quotePrefix="0" xfId="2">
      <alignment vertical="center"/>
    </xf>
    <xf numFmtId="0" fontId="2" fillId="0" borderId="18" applyAlignment="1" applyProtection="1" pivotButton="0" quotePrefix="0" xfId="0">
      <alignment horizontal="center" vertical="center"/>
      <protection locked="0" hidden="0"/>
    </xf>
    <xf numFmtId="164" fontId="2" fillId="2" borderId="0" applyAlignment="1" applyProtection="1" pivotButton="0" quotePrefix="0" xfId="1">
      <alignment horizontal="center" vertical="center"/>
      <protection locked="0" hidden="0"/>
    </xf>
    <xf numFmtId="173" fontId="5" fillId="4" borderId="15" applyAlignment="1" pivotButton="0" quotePrefix="0" xfId="2">
      <alignment horizontal="center" vertical="center"/>
    </xf>
    <xf numFmtId="0" fontId="11" fillId="5" borderId="6" applyAlignment="1" applyProtection="1" pivotButton="0" quotePrefix="0" xfId="0">
      <alignment horizontal="left" vertical="center"/>
      <protection locked="0" hidden="0"/>
    </xf>
    <xf numFmtId="0" fontId="11" fillId="5" borderId="7" applyAlignment="1" applyProtection="1" pivotButton="0" quotePrefix="0" xfId="0">
      <alignment horizontal="left" vertical="center"/>
      <protection locked="0" hidden="0"/>
    </xf>
    <xf numFmtId="20" fontId="12" fillId="5" borderId="7" applyAlignment="1" applyProtection="1" pivotButton="0" quotePrefix="0" xfId="0">
      <alignment horizontal="center" vertical="center"/>
      <protection locked="0" hidden="0"/>
    </xf>
    <xf numFmtId="164" fontId="12" fillId="5" borderId="7" applyAlignment="1" applyProtection="1" pivotButton="0" quotePrefix="0" xfId="1">
      <alignment horizontal="center" vertical="center"/>
      <protection locked="0" hidden="0"/>
    </xf>
    <xf numFmtId="0" fontId="12" fillId="5" borderId="7" applyAlignment="1" applyProtection="1" pivotButton="0" quotePrefix="0" xfId="0">
      <alignment vertical="center"/>
      <protection locked="0" hidden="0"/>
    </xf>
    <xf numFmtId="174" fontId="11" fillId="5" borderId="16" applyAlignment="1" pivotButton="0" quotePrefix="0" xfId="2">
      <alignment horizontal="center" vertical="center"/>
    </xf>
    <xf numFmtId="166" fontId="13" fillId="2" borderId="0" applyAlignment="1" applyProtection="1" pivotButton="0" quotePrefix="0" xfId="2">
      <alignment horizontal="right" vertical="center"/>
      <protection locked="0" hidden="0"/>
    </xf>
    <xf numFmtId="0" fontId="2" fillId="4" borderId="6" applyAlignment="1" pivotButton="0" quotePrefix="0" xfId="0">
      <alignment vertical="center"/>
    </xf>
    <xf numFmtId="0" fontId="5" fillId="4" borderId="6" applyAlignment="1" pivotButton="0" quotePrefix="0" xfId="0">
      <alignment horizontal="right" vertical="center"/>
    </xf>
    <xf numFmtId="175" fontId="18" fillId="0" borderId="18" applyAlignment="1" pivotButton="0" quotePrefix="0" xfId="4">
      <alignment horizontal="center" vertical="center"/>
    </xf>
    <xf numFmtId="175" fontId="18" fillId="0" borderId="18" applyAlignment="1" pivotButton="0" quotePrefix="0" xfId="0">
      <alignment horizontal="center" vertical="center"/>
    </xf>
    <xf numFmtId="0" fontId="14" fillId="2" borderId="6" applyAlignment="1" applyProtection="1" pivotButton="0" quotePrefix="0" xfId="0">
      <alignment horizontal="center" vertical="top"/>
      <protection locked="0" hidden="0"/>
    </xf>
    <xf numFmtId="0" fontId="0" fillId="0" borderId="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" fillId="2" borderId="10" applyAlignment="1" applyProtection="1" pivotButton="0" quotePrefix="0" xfId="0">
      <alignment horizontal="left" vertical="center"/>
      <protection locked="0" hidden="0"/>
    </xf>
    <xf numFmtId="0" fontId="2" fillId="2" borderId="11" applyAlignment="1" applyProtection="1" pivotButton="0" quotePrefix="0" xfId="0">
      <alignment horizontal="left" vertical="center"/>
      <protection locked="0" hidden="0"/>
    </xf>
    <xf numFmtId="166" fontId="2" fillId="2" borderId="0" applyAlignment="1" pivotButton="0" quotePrefix="0" xfId="2">
      <alignment horizontal="left" vertical="top"/>
    </xf>
    <xf numFmtId="167" fontId="2" fillId="3" borderId="0" applyAlignment="1" pivotButton="0" quotePrefix="0" xfId="3">
      <alignment horizontal="center" vertical="center"/>
    </xf>
    <xf numFmtId="168" fontId="2" fillId="2" borderId="3" applyAlignment="1" applyProtection="1" pivotButton="0" quotePrefix="0" xfId="0">
      <alignment horizontal="center" vertical="center"/>
      <protection locked="0" hidden="0"/>
    </xf>
    <xf numFmtId="168" fontId="5" fillId="4" borderId="8" applyAlignment="1" pivotButton="0" quotePrefix="0" xfId="0">
      <alignment horizontal="center" vertical="center"/>
    </xf>
    <xf numFmtId="169" fontId="5" fillId="2" borderId="0" applyAlignment="1" pivotButton="0" quotePrefix="0" xfId="0">
      <alignment horizontal="right" vertical="center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9" fontId="5" fillId="2" borderId="0" applyAlignment="1" applyProtection="1" pivotButton="0" quotePrefix="0" xfId="0">
      <alignment horizontal="right" vertical="center"/>
      <protection locked="0" hidden="0"/>
    </xf>
    <xf numFmtId="169" fontId="8" fillId="2" borderId="0" applyAlignment="1" applyProtection="1" pivotButton="0" quotePrefix="0" xfId="0">
      <alignment horizontal="right" vertical="center"/>
      <protection locked="0" hidden="0"/>
    </xf>
    <xf numFmtId="170" fontId="5" fillId="4" borderId="0" applyAlignment="1" applyProtection="1" pivotButton="0" quotePrefix="0" xfId="0">
      <alignment horizontal="center" vertical="center"/>
      <protection locked="0" hidden="0"/>
    </xf>
    <xf numFmtId="171" fontId="2" fillId="0" borderId="18" applyAlignment="1" applyProtection="1" pivotButton="0" quotePrefix="0" xfId="0">
      <alignment horizontal="center" vertical="center"/>
      <protection locked="0" hidden="0"/>
    </xf>
    <xf numFmtId="175" fontId="18" fillId="0" borderId="18" applyAlignment="1" pivotButton="0" quotePrefix="0" xfId="4">
      <alignment horizontal="center" vertical="center"/>
    </xf>
    <xf numFmtId="172" fontId="2" fillId="4" borderId="18" applyAlignment="1" pivotButton="0" quotePrefix="0" xfId="1">
      <alignment horizontal="center" vertical="center"/>
    </xf>
    <xf numFmtId="170" fontId="2" fillId="4" borderId="18" applyAlignment="1" pivotButton="0" quotePrefix="0" xfId="0">
      <alignment horizontal="center" vertical="center"/>
    </xf>
    <xf numFmtId="175" fontId="18" fillId="0" borderId="18" applyAlignment="1" pivotButton="0" quotePrefix="0" xfId="0">
      <alignment horizontal="center" vertical="center"/>
    </xf>
    <xf numFmtId="173" fontId="5" fillId="4" borderId="15" applyAlignment="1" pivotButton="0" quotePrefix="0" xfId="2">
      <alignment horizontal="center" vertical="center"/>
    </xf>
    <xf numFmtId="174" fontId="11" fillId="5" borderId="16" applyAlignment="1" pivotButton="0" quotePrefix="0" xfId="2">
      <alignment horizontal="center" vertical="center"/>
    </xf>
    <xf numFmtId="166" fontId="13" fillId="2" borderId="0" applyAlignment="1" applyProtection="1" pivotButton="0" quotePrefix="0" xfId="2">
      <alignment horizontal="right" vertical="center"/>
      <protection locked="0" hidden="0"/>
    </xf>
    <xf numFmtId="0" fontId="14" fillId="2" borderId="18" applyAlignment="1" applyProtection="1" pivotButton="0" quotePrefix="0" xfId="0">
      <alignment horizontal="center" vertical="top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5">
    <cellStyle name="Standard" xfId="0" builtinId="0"/>
    <cellStyle name="Komma" xfId="1" builtinId="3"/>
    <cellStyle name="Währung" xfId="2" builtinId="4"/>
    <cellStyle name="Prozent" xfId="3" builtinId="5"/>
    <cellStyle name="Gut" xfId="4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Stefan Müller</author>
  </authors>
  <commentList>
    <comment ref="B19" authorId="0" shapeId="0">
      <text>
        <t xml:space="preserve">Numerische Eingabe
</t>
      </text>
    </comment>
    <comment ref="D19" authorId="0" shapeId="0">
      <text>
        <t>Zeitformat z.B. 13:45</t>
      </text>
    </comment>
    <comment ref="E19" authorId="0" shapeId="0">
      <text>
        <t xml:space="preserve">Zeitformat z.B. 14:50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8</col>
      <colOff>124253</colOff>
      <row>1</row>
      <rowOff>209550</rowOff>
    </from>
    <to>
      <col>9</col>
      <colOff>611506</colOff>
      <row>8</row>
      <rowOff>177165</rowOff>
    </to>
    <pic>
      <nvPicPr>
        <cNvPr id="2" name="Grafik 35" descr="C:\Users\bastian.weiss\AppData\Local\Microsoft\Windows\Temporary Internet Files\Content.Outlook\NMG880LD\NEX_Logo_Deutschland_4c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77428" y="619125"/>
          <a:ext cx="2706578" cy="6153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tabSelected="1" topLeftCell="A23" workbookViewId="0">
      <selection activeCell="I42" sqref="I42"/>
    </sheetView>
  </sheetViews>
  <sheetFormatPr baseColWidth="10" defaultRowHeight="15"/>
  <cols>
    <col width="11.83203125" bestFit="1" customWidth="1" min="5" max="5"/>
    <col width="15.33203125" customWidth="1" min="7" max="7"/>
    <col width="33.33203125" customWidth="1" min="9" max="9"/>
  </cols>
  <sheetData>
    <row r="1" ht="32" customHeight="1" thickBot="1">
      <c r="A1" s="1" t="n"/>
      <c r="B1" s="1" t="n"/>
      <c r="C1" s="1" t="n"/>
      <c r="D1" s="1" t="n"/>
      <c r="E1" s="2" t="n"/>
      <c r="F1" s="2" t="n"/>
      <c r="G1" s="3" t="inlineStr">
        <is>
          <t>Arbeitseinsätze / Mehrarbeit 2025</t>
        </is>
      </c>
      <c r="H1" s="4" t="n"/>
      <c r="I1" s="5" t="n"/>
      <c r="J1" s="6" t="n"/>
    </row>
    <row r="2" ht="25.5" customHeight="1" thickBot="1">
      <c r="A2" s="7" t="n"/>
      <c r="B2" s="8" t="n"/>
      <c r="C2" s="8" t="n"/>
      <c r="D2" s="9" t="inlineStr">
        <is>
          <t>Bruttogehalt [€/Monat]:</t>
        </is>
      </c>
      <c r="E2" s="10" t="n">
        <v>2750</v>
      </c>
      <c r="F2" s="2" t="n"/>
      <c r="G2" s="5" t="inlineStr">
        <is>
          <t>(außerhalb der Regelarbeitszeit)</t>
        </is>
      </c>
      <c r="H2" s="4" t="n"/>
      <c r="I2" s="5" t="n"/>
      <c r="J2" s="86" t="n"/>
    </row>
    <row r="3" hidden="1" ht="25.5" customHeight="1" thickBot="1">
      <c r="A3" s="12" t="n"/>
      <c r="B3" s="13" t="n"/>
      <c r="C3" s="13" t="n">
        <v>40</v>
      </c>
      <c r="D3" s="87" t="n">
        <v>1</v>
      </c>
      <c r="E3" s="88" t="n">
        <v>174</v>
      </c>
      <c r="F3" s="2" t="n"/>
      <c r="G3" s="5" t="n"/>
      <c r="H3" s="4" t="n"/>
      <c r="I3" s="5" t="n"/>
      <c r="J3" s="86" t="n"/>
    </row>
    <row r="4" hidden="1" ht="25.5" customHeight="1" thickBot="1">
      <c r="A4" s="12" t="n"/>
      <c r="B4" s="13" t="n"/>
      <c r="C4" s="13" t="n">
        <v>35</v>
      </c>
      <c r="D4" s="87" t="n">
        <v>0.875</v>
      </c>
      <c r="E4" s="88" t="n">
        <v>152.25</v>
      </c>
      <c r="F4" s="2" t="n"/>
      <c r="G4" s="5" t="n"/>
      <c r="H4" s="4" t="n"/>
      <c r="I4" s="5" t="n"/>
      <c r="J4" s="86" t="n"/>
    </row>
    <row r="5" hidden="1" ht="25.5" customHeight="1" thickBot="1">
      <c r="A5" s="12" t="n"/>
      <c r="B5" s="13" t="n"/>
      <c r="C5" s="13" t="n">
        <v>30</v>
      </c>
      <c r="D5" s="87" t="n">
        <v>0.75</v>
      </c>
      <c r="E5" s="88" t="n">
        <v>130.5</v>
      </c>
      <c r="F5" s="2" t="n"/>
      <c r="G5" s="5" t="n"/>
      <c r="H5" s="4" t="n"/>
      <c r="I5" s="5" t="n"/>
      <c r="J5" s="86" t="n"/>
    </row>
    <row r="6" hidden="1" ht="25.5" customHeight="1" thickBot="1">
      <c r="A6" s="12" t="n"/>
      <c r="B6" s="13" t="n"/>
      <c r="C6" s="13" t="n">
        <v>25</v>
      </c>
      <c r="D6" s="87" t="n">
        <v>0.625</v>
      </c>
      <c r="E6" s="88" t="n">
        <v>108.75</v>
      </c>
      <c r="F6" s="2" t="n"/>
      <c r="G6" s="5" t="n"/>
      <c r="H6" s="4" t="n"/>
      <c r="I6" s="5" t="n"/>
      <c r="J6" s="86" t="n"/>
    </row>
    <row r="7" hidden="1" ht="25.5" customHeight="1" thickBot="1">
      <c r="A7" s="12" t="n"/>
      <c r="B7" s="13" t="n"/>
      <c r="C7" s="13" t="n">
        <v>20</v>
      </c>
      <c r="D7" s="87" t="n">
        <v>0.5</v>
      </c>
      <c r="E7" s="88" t="n">
        <v>87</v>
      </c>
      <c r="F7" s="2" t="n"/>
      <c r="G7" s="5" t="n"/>
      <c r="H7" s="4" t="n"/>
      <c r="I7" s="5" t="n"/>
      <c r="J7" s="86" t="n"/>
    </row>
    <row r="8" ht="25.5" customHeight="1" thickBot="1">
      <c r="A8" s="12" t="n"/>
      <c r="B8" s="13" t="n"/>
      <c r="C8" s="13" t="n"/>
      <c r="D8" s="16" t="inlineStr">
        <is>
          <t>Wochenarbeitszeit [h]:</t>
        </is>
      </c>
      <c r="E8" s="17" t="n">
        <v>40</v>
      </c>
      <c r="F8" s="2" t="n"/>
      <c r="G8" s="5" t="n"/>
      <c r="H8" s="4" t="n"/>
      <c r="I8" s="5" t="n"/>
      <c r="J8" s="86" t="n"/>
    </row>
    <row r="9" ht="25.5" customHeight="1">
      <c r="A9" s="12" t="n"/>
      <c r="B9" s="13" t="n"/>
      <c r="C9" s="13" t="n"/>
      <c r="D9" s="16" t="inlineStr">
        <is>
          <t>Monatsarbeitszeit [h]:</t>
        </is>
      </c>
      <c r="E9" s="18">
        <f>VLOOKUP(E8,C3:E7,3,)</f>
        <v/>
      </c>
      <c r="F9" s="2" t="n"/>
      <c r="G9" s="5" t="n"/>
      <c r="H9" s="4" t="n"/>
      <c r="I9" s="5" t="n"/>
      <c r="J9" s="86" t="n"/>
    </row>
    <row r="10" ht="17.25" customHeight="1">
      <c r="A10" s="19" t="n"/>
      <c r="B10" s="20" t="n"/>
      <c r="C10" s="20" t="n"/>
      <c r="D10" s="21" t="inlineStr">
        <is>
          <t>Stundenlohn brutto [€/h]:</t>
        </is>
      </c>
      <c r="E10" s="89">
        <f>E2/E9</f>
        <v/>
      </c>
      <c r="F10" s="2" t="n"/>
      <c r="G10" s="2" t="n"/>
      <c r="H10" s="4" t="n"/>
      <c r="I10" s="5" t="n"/>
      <c r="J10" s="86" t="n"/>
    </row>
    <row r="11" ht="27" customHeight="1">
      <c r="A11" s="23" t="inlineStr">
        <is>
          <t>Kat.</t>
        </is>
      </c>
      <c r="B11" s="24" t="inlineStr">
        <is>
          <t>Tag</t>
        </is>
      </c>
      <c r="C11" s="24" t="inlineStr">
        <is>
          <t>Uhrzeit</t>
        </is>
      </c>
      <c r="D11" s="24" t="inlineStr">
        <is>
          <t>Zuschlag</t>
        </is>
      </c>
      <c r="E11" s="25" t="inlineStr">
        <is>
          <t xml:space="preserve">   ↓</t>
        </is>
      </c>
      <c r="F11" s="26" t="n"/>
      <c r="G11" s="90" t="inlineStr">
        <is>
          <t>Nachname:</t>
        </is>
      </c>
      <c r="H11" s="84" t="inlineStr">
        <is>
          <t>Mustermann</t>
        </is>
      </c>
      <c r="I11" s="91" t="n"/>
      <c r="J11" s="91" t="n"/>
    </row>
    <row r="12" ht="27" customHeight="1">
      <c r="A12" s="29" t="n">
        <v>1</v>
      </c>
      <c r="B12" s="1" t="inlineStr">
        <is>
          <t>Werktag</t>
        </is>
      </c>
      <c r="C12" s="1" t="inlineStr">
        <is>
          <t>18:00-20:00</t>
        </is>
      </c>
      <c r="D12" s="30" t="inlineStr">
        <is>
          <t>+25</t>
        </is>
      </c>
      <c r="E12" s="31">
        <f>E10*1.25</f>
        <v/>
      </c>
      <c r="F12" s="26" t="n"/>
      <c r="G12" s="90" t="inlineStr">
        <is>
          <t>Vorname:</t>
        </is>
      </c>
      <c r="H12" s="85" t="inlineStr">
        <is>
          <t>Max</t>
        </is>
      </c>
      <c r="I12" s="92" t="n"/>
      <c r="J12" s="92" t="n"/>
    </row>
    <row r="13" ht="27" customHeight="1">
      <c r="A13" s="29" t="n">
        <v>2</v>
      </c>
      <c r="B13" s="1" t="inlineStr">
        <is>
          <t>Werktag</t>
        </is>
      </c>
      <c r="C13" s="1" t="inlineStr">
        <is>
          <t>20:00-7:00</t>
        </is>
      </c>
      <c r="D13" s="30" t="inlineStr">
        <is>
          <t>+50</t>
        </is>
      </c>
      <c r="E13" s="31">
        <f>E10*1.5</f>
        <v/>
      </c>
      <c r="F13" s="26" t="n"/>
      <c r="G13" s="2" t="n"/>
      <c r="H13" s="33" t="n"/>
      <c r="I13" s="34" t="n"/>
      <c r="J13" s="34" t="n"/>
    </row>
    <row r="14" ht="27" customHeight="1">
      <c r="A14" s="29" t="n">
        <v>3</v>
      </c>
      <c r="B14" s="1" t="inlineStr">
        <is>
          <t>Samstag</t>
        </is>
      </c>
      <c r="C14" s="1" t="inlineStr">
        <is>
          <t>ganztägig</t>
        </is>
      </c>
      <c r="D14" s="30" t="inlineStr">
        <is>
          <t>+50</t>
        </is>
      </c>
      <c r="E14" s="31">
        <f>E10*1.5</f>
        <v/>
      </c>
      <c r="F14" s="26" t="n"/>
      <c r="G14" s="90" t="inlineStr">
        <is>
          <t>IBAN:</t>
        </is>
      </c>
      <c r="H14" s="28" t="inlineStr"/>
      <c r="I14" s="28" t="n"/>
      <c r="J14" s="28" t="n"/>
    </row>
    <row r="15" ht="27" customHeight="1">
      <c r="A15" s="29" t="n">
        <v>4</v>
      </c>
      <c r="B15" s="1" t="inlineStr">
        <is>
          <t>Sonntag</t>
        </is>
      </c>
      <c r="C15" s="1" t="inlineStr">
        <is>
          <t>ganztägig</t>
        </is>
      </c>
      <c r="D15" s="30" t="inlineStr">
        <is>
          <t>+100</t>
        </is>
      </c>
      <c r="E15" s="31">
        <f>E10*2</f>
        <v/>
      </c>
      <c r="F15" s="26" t="n"/>
      <c r="G15" s="90" t="inlineStr">
        <is>
          <t>BIC:</t>
        </is>
      </c>
      <c r="H15" s="32" t="inlineStr"/>
      <c r="I15" s="28" t="n"/>
      <c r="J15" s="28" t="n"/>
    </row>
    <row r="16" ht="27" customHeight="1">
      <c r="A16" s="35" t="n">
        <v>5</v>
      </c>
      <c r="B16" s="36" t="inlineStr">
        <is>
          <t>Feiertag</t>
        </is>
      </c>
      <c r="C16" s="36" t="inlineStr">
        <is>
          <t>ganztägig</t>
        </is>
      </c>
      <c r="D16" s="37" t="inlineStr">
        <is>
          <t>+100</t>
        </is>
      </c>
      <c r="E16" s="38">
        <f>E10*2</f>
        <v/>
      </c>
      <c r="F16" s="26" t="n"/>
      <c r="G16" s="90" t="inlineStr">
        <is>
          <t>Bank:</t>
        </is>
      </c>
      <c r="H16" s="32" t="inlineStr">
        <is>
          <t>Musterbank</t>
        </is>
      </c>
      <c r="I16" s="28" t="n"/>
      <c r="J16" s="28" t="n"/>
    </row>
    <row r="17">
      <c r="A17" s="39" t="n"/>
      <c r="B17" s="39" t="n"/>
      <c r="C17" s="40" t="n"/>
      <c r="D17" s="40" t="n"/>
      <c r="E17" s="93" t="n"/>
      <c r="F17" s="39" t="n"/>
      <c r="G17" s="42" t="n"/>
      <c r="H17" s="42" t="n"/>
      <c r="I17" s="34" t="n"/>
      <c r="J17" s="94" t="n"/>
    </row>
    <row r="18">
      <c r="A18" s="44" t="inlineStr">
        <is>
          <t>Aufwand für Arbeitseinsätze</t>
        </is>
      </c>
      <c r="B18" s="45" t="n"/>
      <c r="C18" s="46" t="n"/>
      <c r="D18" s="46" t="n"/>
      <c r="E18" s="47" t="n"/>
      <c r="F18" s="47" t="n"/>
      <c r="G18" s="47" t="n"/>
      <c r="H18" s="48" t="n"/>
      <c r="I18" s="46" t="n"/>
      <c r="J18" s="49" t="n"/>
    </row>
    <row r="19">
      <c r="A19" s="50" t="inlineStr">
        <is>
          <t>Tag</t>
        </is>
      </c>
      <c r="B19" s="50" t="inlineStr">
        <is>
          <t>Monat</t>
        </is>
      </c>
      <c r="C19" s="50" t="inlineStr">
        <is>
          <t>Jahr</t>
        </is>
      </c>
      <c r="D19" s="50" t="inlineStr">
        <is>
          <t>Beginn</t>
        </is>
      </c>
      <c r="E19" s="50" t="inlineStr">
        <is>
          <t>Ende</t>
        </is>
      </c>
      <c r="F19" s="50" t="inlineStr">
        <is>
          <t>Dauer</t>
        </is>
      </c>
      <c r="G19" s="50" t="inlineStr">
        <is>
          <t>Kategorie</t>
        </is>
      </c>
      <c r="H19" s="50" t="inlineStr">
        <is>
          <t>Vergütung</t>
        </is>
      </c>
      <c r="I19" s="50" t="inlineStr">
        <is>
          <t>Kunde</t>
        </is>
      </c>
      <c r="J19" s="50" t="inlineStr">
        <is>
          <t>Betrag</t>
        </is>
      </c>
    </row>
    <row r="20" ht="16" customHeight="1">
      <c r="A20" s="51" t="n"/>
      <c r="B20" s="51" t="n"/>
      <c r="C20" s="51" t="n"/>
      <c r="D20" s="51" t="inlineStr">
        <is>
          <t>[Uhrzeit]</t>
        </is>
      </c>
      <c r="E20" s="51" t="inlineStr">
        <is>
          <t>[Uhrzeit]</t>
        </is>
      </c>
      <c r="F20" s="51" t="inlineStr">
        <is>
          <t>[h]</t>
        </is>
      </c>
      <c r="G20" s="52" t="n"/>
      <c r="H20" s="51" t="inlineStr">
        <is>
          <t>[€/h]</t>
        </is>
      </c>
      <c r="I20" s="51" t="n"/>
      <c r="J20" s="51" t="n"/>
    </row>
    <row r="21" ht="44" customHeight="1">
      <c r="A21" s="53" t="n"/>
      <c r="B21" s="53" t="n"/>
      <c r="C21" s="53" t="n"/>
      <c r="D21" s="54" t="n"/>
      <c r="E21" s="53" t="n"/>
      <c r="F21" s="53" t="n"/>
      <c r="G21" s="55" t="inlineStr">
        <is>
          <t>Werktag +25%</t>
        </is>
      </c>
      <c r="H21" s="95">
        <f>E12</f>
        <v/>
      </c>
      <c r="I21" s="53" t="n"/>
      <c r="J21" s="53" t="n"/>
    </row>
    <row r="22" ht="34" customHeight="1">
      <c r="A22" s="53" t="n"/>
      <c r="B22" s="53" t="n"/>
      <c r="C22" s="53" t="n"/>
      <c r="D22" s="54" t="n"/>
      <c r="E22" s="53" t="n"/>
      <c r="F22" s="53" t="n"/>
      <c r="G22" s="55" t="inlineStr">
        <is>
          <t>Werktag +50%</t>
        </is>
      </c>
      <c r="H22" s="95">
        <f>E13</f>
        <v/>
      </c>
      <c r="I22" s="53" t="n"/>
      <c r="J22" s="53" t="n"/>
    </row>
    <row r="23" ht="34" customHeight="1">
      <c r="A23" s="53" t="n"/>
      <c r="B23" s="53" t="n"/>
      <c r="C23" s="53" t="n"/>
      <c r="D23" s="54" t="n"/>
      <c r="E23" s="53" t="n"/>
      <c r="F23" s="53" t="n"/>
      <c r="G23" s="55" t="inlineStr">
        <is>
          <t>Samstag +50%</t>
        </is>
      </c>
      <c r="H23" s="95">
        <f>E14</f>
        <v/>
      </c>
      <c r="I23" s="53" t="n"/>
      <c r="J23" s="53" t="n"/>
    </row>
    <row r="24" ht="34" customHeight="1">
      <c r="A24" s="53" t="n"/>
      <c r="B24" s="53" t="n"/>
      <c r="C24" s="53" t="n"/>
      <c r="D24" s="54" t="n"/>
      <c r="E24" s="53" t="n"/>
      <c r="F24" s="53" t="n"/>
      <c r="G24" s="55" t="inlineStr">
        <is>
          <t>Sonntag +100%</t>
        </is>
      </c>
      <c r="H24" s="95">
        <f>E15</f>
        <v/>
      </c>
      <c r="I24" s="53" t="n"/>
      <c r="J24" s="53" t="n"/>
    </row>
    <row r="25" ht="43" customHeight="1">
      <c r="A25" s="53" t="n"/>
      <c r="B25" s="53" t="n"/>
      <c r="C25" s="53" t="n"/>
      <c r="D25" s="54" t="n"/>
      <c r="E25" s="53" t="n"/>
      <c r="F25" s="57" t="n"/>
      <c r="G25" s="58" t="inlineStr">
        <is>
          <t>Feiertag +100%</t>
        </is>
      </c>
      <c r="H25" s="95">
        <f>E16</f>
        <v/>
      </c>
      <c r="I25" s="53" t="n"/>
      <c r="J25" s="53" t="n"/>
    </row>
    <row r="26" ht="16" customHeight="1">
      <c r="A26" s="59" t="n"/>
      <c r="B26" s="96" t="n"/>
      <c r="C26" s="61" t="n"/>
      <c r="D26" s="97" t="n"/>
      <c r="E26" s="97" t="n"/>
      <c r="F26" s="98">
        <f>IF(B26&gt;0,IF(E26=0,(1-D26)*24,(E26-D26)*24),0)</f>
        <v/>
      </c>
      <c r="G26" s="64" t="n"/>
      <c r="H26" s="99">
        <f>IFERROR(VLOOKUP(G26,$G$21:$H$25,2,),"")</f>
        <v/>
      </c>
      <c r="I26" s="67" t="n"/>
      <c r="J26" s="66">
        <f>IFERROR(F26*H26,"")</f>
        <v/>
      </c>
    </row>
    <row r="27" ht="16" customHeight="1">
      <c r="A27" s="67" t="n"/>
      <c r="B27" s="96" t="n"/>
      <c r="C27" s="61" t="n"/>
      <c r="D27" s="100" t="n"/>
      <c r="E27" s="100" t="n"/>
      <c r="F27" s="98">
        <f>IF(B27&gt;0,IF(E27=0,(1-D27)*24,(E27-D27)*24),0)</f>
        <v/>
      </c>
      <c r="G27" s="64" t="n"/>
      <c r="H27" s="99">
        <f>IFERROR(VLOOKUP(G27,$G$21:$H$25,2,),"")</f>
        <v/>
      </c>
      <c r="I27" s="67" t="n"/>
      <c r="J27" s="66">
        <f>IFERROR(F27*H27,"")</f>
        <v/>
      </c>
    </row>
    <row r="28" ht="16" customHeight="1">
      <c r="A28" s="67" t="n"/>
      <c r="B28" s="96" t="n"/>
      <c r="C28" s="61" t="n"/>
      <c r="D28" s="100" t="n"/>
      <c r="E28" s="100" t="n"/>
      <c r="F28" s="98">
        <f>IF(B28&gt;0,IF(E28=0,(1-D28)*24,(E28-D28)*24),0)</f>
        <v/>
      </c>
      <c r="G28" s="64" t="n"/>
      <c r="H28" s="99">
        <f>IFERROR(VLOOKUP(G28,$G$21:$H$25,2,),"")</f>
        <v/>
      </c>
      <c r="I28" s="67" t="n"/>
      <c r="J28" s="66">
        <f>IFERROR(F28*H28,"")</f>
        <v/>
      </c>
    </row>
    <row r="29" ht="16" customHeight="1">
      <c r="A29" s="59" t="n"/>
      <c r="B29" s="96" t="n"/>
      <c r="C29" s="61" t="n"/>
      <c r="D29" s="100" t="n"/>
      <c r="E29" s="100" t="n"/>
      <c r="F29" s="98">
        <f>IF(B29&gt;0,IF(E29=0,(1-D29)*24,(E29-D29)*24),0)</f>
        <v/>
      </c>
      <c r="G29" s="64" t="n"/>
      <c r="H29" s="99">
        <f>IFERROR(VLOOKUP(G29,$G$21:$H$25,2,),"")</f>
        <v/>
      </c>
      <c r="I29" s="67" t="n"/>
      <c r="J29" s="66">
        <f>IFERROR(F29*H29,"")</f>
        <v/>
      </c>
    </row>
    <row r="30" ht="16" customHeight="1">
      <c r="A30" s="59" t="n"/>
      <c r="B30" s="96" t="n"/>
      <c r="C30" s="61" t="n"/>
      <c r="D30" s="100" t="n"/>
      <c r="E30" s="100" t="n"/>
      <c r="F30" s="98">
        <f>IF(B30&gt;0,IF(E30=0,(1-D30)*24,(E30-D30)*24),0)</f>
        <v/>
      </c>
      <c r="G30" s="64" t="n"/>
      <c r="H30" s="99">
        <f>IFERROR(VLOOKUP(G30,$G$21:$H$25,2,),"")</f>
        <v/>
      </c>
      <c r="I30" s="67" t="n"/>
      <c r="J30" s="66">
        <f>IFERROR(F30*H30,"")</f>
        <v/>
      </c>
    </row>
    <row r="31" ht="16" customHeight="1">
      <c r="A31" s="59" t="n"/>
      <c r="B31" s="96" t="n"/>
      <c r="C31" s="61" t="n"/>
      <c r="D31" s="100" t="n"/>
      <c r="E31" s="100" t="n"/>
      <c r="F31" s="98">
        <f>IF(B31&gt;0,IF(E31=0,(1-D31)*24,(E31-D31)*24),0)</f>
        <v/>
      </c>
      <c r="G31" s="64" t="n"/>
      <c r="H31" s="99">
        <f>IFERROR(VLOOKUP(G31,$G$21:$H$25,2,),"")</f>
        <v/>
      </c>
      <c r="I31" s="67" t="n"/>
      <c r="J31" s="66">
        <f>IFERROR(F31*H31,"")</f>
        <v/>
      </c>
    </row>
    <row r="32" ht="16" customHeight="1">
      <c r="A32" s="59" t="n"/>
      <c r="B32" s="96" t="n"/>
      <c r="C32" s="61" t="n"/>
      <c r="D32" s="100" t="n"/>
      <c r="E32" s="100" t="n"/>
      <c r="F32" s="98">
        <f>IF(B32&gt;0,IF(E32=0,(1-D32)*24,(E32-D32)*24),0)</f>
        <v/>
      </c>
      <c r="G32" s="64" t="n"/>
      <c r="H32" s="99">
        <f>IFERROR(VLOOKUP(G32,$G$21:$H$25,2,),"")</f>
        <v/>
      </c>
      <c r="I32" s="67" t="n"/>
      <c r="J32" s="66">
        <f>IFERROR(F32*H32,"")</f>
        <v/>
      </c>
    </row>
    <row r="33" ht="16" customHeight="1">
      <c r="A33" s="59" t="n"/>
      <c r="B33" s="96" t="n"/>
      <c r="C33" s="61" t="n"/>
      <c r="D33" s="100" t="n"/>
      <c r="E33" s="100" t="n"/>
      <c r="F33" s="98">
        <f>IF(B33&gt;0,IF(E33=0,(1-D33)*24,(E33-D33)*24),0)</f>
        <v/>
      </c>
      <c r="G33" s="64" t="n"/>
      <c r="H33" s="99">
        <f>IFERROR(VLOOKUP(G33,$G$21:$H$25,2,),"")</f>
        <v/>
      </c>
      <c r="I33" s="67" t="n"/>
      <c r="J33" s="66">
        <f>IFERROR(F33*H33,"")</f>
        <v/>
      </c>
    </row>
    <row r="34" ht="16" customHeight="1">
      <c r="A34" s="59" t="n"/>
      <c r="B34" s="96" t="n"/>
      <c r="C34" s="61" t="n"/>
      <c r="D34" s="100" t="n"/>
      <c r="E34" s="100" t="n"/>
      <c r="F34" s="98">
        <f>IF(B34&gt;0,IF(E34=0,(1-D34)*24,(E34-D34)*24),0)</f>
        <v/>
      </c>
      <c r="G34" s="64" t="n"/>
      <c r="H34" s="99">
        <f>IFERROR(VLOOKUP(G34,$G$21:$H$25,2,),"")</f>
        <v/>
      </c>
      <c r="I34" s="67" t="n"/>
      <c r="J34" s="66">
        <f>IFERROR(F34*H34,"")</f>
        <v/>
      </c>
    </row>
    <row r="35" ht="16" customHeight="1">
      <c r="A35" s="59" t="n"/>
      <c r="B35" s="96" t="n"/>
      <c r="C35" s="61" t="n"/>
      <c r="D35" s="100" t="n"/>
      <c r="E35" s="100" t="n"/>
      <c r="F35" s="98">
        <f>IF(B35&gt;0,IF(E35=0,(1-D35)*24,(E35-D35)*24),0)</f>
        <v/>
      </c>
      <c r="G35" s="64" t="n"/>
      <c r="H35" s="99">
        <f>IFERROR(VLOOKUP(G35,$G$21:$H$25,2,),"")</f>
        <v/>
      </c>
      <c r="I35" s="67" t="n"/>
      <c r="J35" s="66">
        <f>IFERROR(F35*H35,"")</f>
        <v/>
      </c>
    </row>
    <row r="36">
      <c r="A36" s="59" t="n"/>
      <c r="B36" s="96" t="n"/>
      <c r="C36" s="61" t="n"/>
      <c r="D36" s="62" t="n"/>
      <c r="E36" s="62" t="n"/>
      <c r="F36" s="98">
        <f>IF(B36&gt;0,IF(E36=0,(1-D36)*24,(E36-D36)*24),0)</f>
        <v/>
      </c>
      <c r="G36" s="64" t="n"/>
      <c r="H36" s="99">
        <f>IFERROR(VLOOKUP(G36,$G$21:$H$25,2,),"")</f>
        <v/>
      </c>
      <c r="I36" s="67" t="n"/>
      <c r="J36" s="66">
        <f>IFERROR(F36*H36,"")</f>
        <v/>
      </c>
    </row>
    <row r="37">
      <c r="A37" s="59" t="n"/>
      <c r="B37" s="96" t="n"/>
      <c r="C37" s="61" t="n"/>
      <c r="D37" s="62" t="n"/>
      <c r="E37" s="62" t="n"/>
      <c r="F37" s="98">
        <f>IF(B37&gt;0,IF(E37=0,(1-D37)*24,(E37-D37)*24),0)</f>
        <v/>
      </c>
      <c r="G37" s="64" t="n"/>
      <c r="H37" s="99">
        <f>IFERROR(VLOOKUP(G37,$G$21:$H$25,2,),"")</f>
        <v/>
      </c>
      <c r="I37" s="67" t="n"/>
      <c r="J37" s="66">
        <f>IFERROR(F37*H37,"")</f>
        <v/>
      </c>
    </row>
    <row r="38">
      <c r="A38" s="59" t="n"/>
      <c r="B38" s="96" t="n"/>
      <c r="C38" s="61" t="n"/>
      <c r="D38" s="62" t="n"/>
      <c r="E38" s="62" t="n"/>
      <c r="F38" s="98">
        <f>IF(B38&gt;0,IF(E38=0,(1-D38)*24,(E38-D38)*24),0)</f>
        <v/>
      </c>
      <c r="G38" s="64" t="n"/>
      <c r="H38" s="99">
        <f>IFERROR(VLOOKUP(G38,$G$21:$H$25,2,),"")</f>
        <v/>
      </c>
      <c r="I38" s="67" t="n"/>
      <c r="J38" s="66">
        <f>IFERROR(F38*H38,"")</f>
        <v/>
      </c>
    </row>
    <row r="39">
      <c r="A39" s="59" t="n"/>
      <c r="B39" s="96" t="n"/>
      <c r="C39" s="61" t="n"/>
      <c r="D39" s="62" t="n"/>
      <c r="E39" s="62" t="n"/>
      <c r="F39" s="98">
        <f>IF(B39&gt;0,IF(E39=0,(1-D39)*24,(E39-D39)*24),0)</f>
        <v/>
      </c>
      <c r="G39" s="64" t="n"/>
      <c r="H39" s="99">
        <f>IFERROR(VLOOKUP(G39,$G$21:$H$25,2,),"")</f>
        <v/>
      </c>
      <c r="I39" s="67" t="n"/>
      <c r="J39" s="66">
        <f>IFERROR(F39*H39,"")</f>
        <v/>
      </c>
    </row>
    <row r="40">
      <c r="A40" s="59" t="n"/>
      <c r="B40" s="96" t="n"/>
      <c r="C40" s="61" t="n"/>
      <c r="D40" s="62" t="n"/>
      <c r="E40" s="62" t="n"/>
      <c r="F40" s="98">
        <f>IF(B40&gt;0,IF(E40=0,(1-D40)*24,(E40-D40)*24),0)</f>
        <v/>
      </c>
      <c r="G40" s="64" t="n"/>
      <c r="H40" s="99">
        <f>IFERROR(VLOOKUP(G40,$G$21:$H$25,2,),"")</f>
        <v/>
      </c>
      <c r="I40" s="67" t="n"/>
      <c r="J40" s="66">
        <f>IFERROR(F40*H40,"")</f>
        <v/>
      </c>
    </row>
    <row r="41">
      <c r="A41" s="59" t="n"/>
      <c r="B41" s="96" t="n"/>
      <c r="C41" s="61" t="n"/>
      <c r="D41" s="62" t="n"/>
      <c r="E41" s="62" t="n"/>
      <c r="F41" s="98">
        <f>IF(B41&gt;0,IF(E41=0,(1-D41)*24,(E41-D41)*24),0)</f>
        <v/>
      </c>
      <c r="G41" s="64" t="n"/>
      <c r="H41" s="99">
        <f>IFERROR(VLOOKUP(G41,$G$21:$H$25,2,),"")</f>
        <v/>
      </c>
      <c r="I41" s="67" t="n"/>
      <c r="J41" s="66">
        <f>IFERROR(F41*H41,"")</f>
        <v/>
      </c>
    </row>
    <row r="42">
      <c r="A42" s="59" t="n"/>
      <c r="B42" s="96" t="n"/>
      <c r="C42" s="61" t="n"/>
      <c r="D42" s="62" t="n"/>
      <c r="E42" s="62" t="n"/>
      <c r="F42" s="98">
        <f>IF(B42&gt;0,IF(E42=0,(1-D42)*24,(E42-D42)*24),0)</f>
        <v/>
      </c>
      <c r="G42" s="64" t="n"/>
      <c r="H42" s="99">
        <f>IFERROR(VLOOKUP(G42,$G$21:$H$25,2,),"")</f>
        <v/>
      </c>
      <c r="I42" s="67" t="n"/>
      <c r="J42" s="66">
        <f>IFERROR(F42*H42,"")</f>
        <v/>
      </c>
    </row>
    <row r="43">
      <c r="A43" s="59" t="n"/>
      <c r="B43" s="96" t="n"/>
      <c r="C43" s="61" t="n"/>
      <c r="D43" s="62" t="n"/>
      <c r="E43" s="62" t="n"/>
      <c r="F43" s="98">
        <f>IF(B43&gt;0,IF(E43=0,(1-D43)*24,(E43-D43)*24),0)</f>
        <v/>
      </c>
      <c r="G43" s="64" t="n"/>
      <c r="H43" s="99">
        <f>IFERROR(VLOOKUP(G43,$G$21:$H$25,2,),"")</f>
        <v/>
      </c>
      <c r="I43" s="67" t="n"/>
      <c r="J43" s="66">
        <f>IFERROR(F43*H43,"")</f>
        <v/>
      </c>
    </row>
    <row r="44">
      <c r="A44" s="59" t="n"/>
      <c r="B44" s="96" t="n"/>
      <c r="C44" s="61" t="n"/>
      <c r="D44" s="62" t="n"/>
      <c r="E44" s="62" t="n"/>
      <c r="F44" s="98">
        <f>IF(B44&gt;0,IF(E44=0,(1-D44)*24,(E44-D44)*24),0)</f>
        <v/>
      </c>
      <c r="G44" s="64" t="n"/>
      <c r="H44" s="99">
        <f>IFERROR(VLOOKUP(G44,$G$21:$H$25,2,),"")</f>
        <v/>
      </c>
      <c r="I44" s="67" t="n"/>
      <c r="J44" s="66">
        <f>IFERROR(F44*H44,"")</f>
        <v/>
      </c>
    </row>
    <row r="45">
      <c r="A45" s="59" t="n"/>
      <c r="B45" s="96" t="n"/>
      <c r="C45" s="61" t="n"/>
      <c r="D45" s="62" t="n"/>
      <c r="E45" s="62" t="n"/>
      <c r="F45" s="98">
        <f>IF(B45&gt;0,IF(E45=0,(1-D45)*24,(E45-D45)*24),0)</f>
        <v/>
      </c>
      <c r="G45" s="64" t="n"/>
      <c r="H45" s="99">
        <f>IFERROR(VLOOKUP(G45,$G$21:$H$25,2,),"")</f>
        <v/>
      </c>
      <c r="I45" s="67" t="n"/>
      <c r="J45" s="66">
        <f>IFERROR(F45*H45,"")</f>
        <v/>
      </c>
    </row>
    <row r="46">
      <c r="A46" s="59" t="n"/>
      <c r="B46" s="96" t="n"/>
      <c r="C46" s="61" t="n"/>
      <c r="D46" s="62" t="n"/>
      <c r="E46" s="62" t="n"/>
      <c r="F46" s="98">
        <f>IF(B46&gt;0,IF(E46=0,(1-D46)*24,(E46-D46)*24),0)</f>
        <v/>
      </c>
      <c r="G46" s="64" t="n"/>
      <c r="H46" s="99">
        <f>IFERROR(VLOOKUP(G46,$G$21:$H$25,2,),"")</f>
        <v/>
      </c>
      <c r="I46" s="67" t="n"/>
      <c r="J46" s="66">
        <f>IFERROR(F46*H46,"")</f>
        <v/>
      </c>
    </row>
    <row r="47">
      <c r="A47" s="59" t="n"/>
      <c r="B47" s="96" t="n"/>
      <c r="C47" s="61" t="n"/>
      <c r="D47" s="62" t="n"/>
      <c r="E47" s="62" t="n"/>
      <c r="F47" s="98">
        <f>IF(B47&gt;0,IF(E47=0,(1-D47)*24,(E47-D47)*24),0)</f>
        <v/>
      </c>
      <c r="G47" s="64" t="n"/>
      <c r="H47" s="99">
        <f>IFERROR(VLOOKUP(G47,$G$21:$H$25,2,),"")</f>
        <v/>
      </c>
      <c r="I47" s="67" t="n"/>
      <c r="J47" s="66">
        <f>IFERROR(F47*H47,"")</f>
        <v/>
      </c>
    </row>
    <row r="48">
      <c r="A48" s="59" t="n"/>
      <c r="B48" s="96" t="n"/>
      <c r="C48" s="61" t="n"/>
      <c r="D48" s="62" t="n"/>
      <c r="E48" s="62" t="n"/>
      <c r="F48" s="98">
        <f>IF(B48&gt;0,IF(E48=0,(1-D48)*24,(E48-D48)*24),0)</f>
        <v/>
      </c>
      <c r="G48" s="64" t="n"/>
      <c r="H48" s="99">
        <f>IFERROR(VLOOKUP(G48,$G$21:$H$25,2,),"")</f>
        <v/>
      </c>
      <c r="I48" s="67" t="n"/>
      <c r="J48" s="66">
        <f>IFERROR(F48*H48,"")</f>
        <v/>
      </c>
    </row>
    <row r="49">
      <c r="A49" s="59" t="n"/>
      <c r="B49" s="96" t="n"/>
      <c r="C49" s="61" t="n"/>
      <c r="D49" s="62" t="n"/>
      <c r="E49" s="62" t="n"/>
      <c r="F49" s="98">
        <f>IF(B49&gt;0,IF(E49=0,(1-D49)*24,(E49-D49)*24),0)</f>
        <v/>
      </c>
      <c r="G49" s="64" t="n"/>
      <c r="H49" s="99">
        <f>IFERROR(VLOOKUP(G49,$G$21:$H$25,2,),"")</f>
        <v/>
      </c>
      <c r="I49" s="67" t="n"/>
      <c r="J49" s="66">
        <f>IFERROR(F49*H49,"")</f>
        <v/>
      </c>
    </row>
    <row r="50">
      <c r="A50" s="59" t="n"/>
      <c r="B50" s="96" t="n"/>
      <c r="C50" s="61" t="n"/>
      <c r="D50" s="62" t="n"/>
      <c r="E50" s="62" t="n"/>
      <c r="F50" s="98">
        <f>IF(B50&gt;0,IF(E50=0,(1-D50)*24,(E50-D50)*24),0)</f>
        <v/>
      </c>
      <c r="G50" s="64" t="n"/>
      <c r="H50" s="99">
        <f>IFERROR(VLOOKUP(G50,$G$21:$H$25,2,),"")</f>
        <v/>
      </c>
      <c r="I50" s="67" t="n"/>
      <c r="J50" s="66">
        <f>IFERROR(F50*H50,"")</f>
        <v/>
      </c>
    </row>
    <row r="51">
      <c r="A51" s="59" t="n"/>
      <c r="B51" s="96" t="n"/>
      <c r="C51" s="61" t="n"/>
      <c r="D51" s="62" t="n"/>
      <c r="E51" s="62" t="n"/>
      <c r="F51" s="98">
        <f>IF(B51&gt;0,IF(E51=0,(1-D51)*24,(E51-D51)*24),0)</f>
        <v/>
      </c>
      <c r="G51" s="64" t="n"/>
      <c r="H51" s="99">
        <f>IFERROR(VLOOKUP(G51,$G$21:$H$25,2,),"")</f>
        <v/>
      </c>
      <c r="I51" s="67" t="n"/>
      <c r="J51" s="66">
        <f>IFERROR(F51*H51,"")</f>
        <v/>
      </c>
    </row>
    <row r="52">
      <c r="A52" s="59" t="n"/>
      <c r="B52" s="96" t="n"/>
      <c r="C52" s="61" t="n"/>
      <c r="D52" s="62" t="n"/>
      <c r="E52" s="62" t="n"/>
      <c r="F52" s="98">
        <f>IF(B52&gt;0,IF(E52=0,(1-D52)*24,(E52-D52)*24),0)</f>
        <v/>
      </c>
      <c r="G52" s="64" t="n"/>
      <c r="H52" s="99">
        <f>IFERROR(VLOOKUP(G52,$G$21:$H$25,2,),"")</f>
        <v/>
      </c>
      <c r="I52" s="67" t="n"/>
      <c r="J52" s="66">
        <f>IFERROR(F52*H52,"")</f>
        <v/>
      </c>
    </row>
    <row r="53">
      <c r="A53" s="59" t="n"/>
      <c r="B53" s="96" t="n"/>
      <c r="C53" s="61" t="n"/>
      <c r="D53" s="62" t="n"/>
      <c r="E53" s="62" t="n"/>
      <c r="F53" s="98">
        <f>IF(B53&gt;0,IF(E53=0,(1-D53)*24,(E53-D53)*24),0)</f>
        <v/>
      </c>
      <c r="G53" s="64" t="n"/>
      <c r="H53" s="99">
        <f>IFERROR(VLOOKUP(G53,$G$21:$H$25,2,),"")</f>
        <v/>
      </c>
      <c r="I53" s="67" t="n"/>
      <c r="J53" s="66">
        <f>IFERROR(F53*H53,"")</f>
        <v/>
      </c>
    </row>
    <row r="54">
      <c r="A54" s="59" t="n"/>
      <c r="B54" s="96" t="n"/>
      <c r="C54" s="61" t="n"/>
      <c r="D54" s="62" t="n"/>
      <c r="E54" s="62" t="n"/>
      <c r="F54" s="98">
        <f>IF(B54&gt;0,IF(E54=0,(1-D54)*24,(E54-D54)*24),0)</f>
        <v/>
      </c>
      <c r="G54" s="64" t="n"/>
      <c r="H54" s="99">
        <f>IFERROR(VLOOKUP(G54,$G$21:$H$25,2,),"")</f>
        <v/>
      </c>
      <c r="I54" s="67" t="n"/>
      <c r="J54" s="66">
        <f>IFERROR(F54*H54,"")</f>
        <v/>
      </c>
    </row>
    <row r="55">
      <c r="A55" s="59" t="n"/>
      <c r="B55" s="96" t="n"/>
      <c r="C55" s="61" t="n"/>
      <c r="D55" s="62" t="n"/>
      <c r="E55" s="62" t="n"/>
      <c r="F55" s="98">
        <f>IF(B55&gt;0,IF(E55=0,(1-D55)*24,(E55-D55)*24),0)</f>
        <v/>
      </c>
      <c r="G55" s="64" t="n"/>
      <c r="H55" s="99">
        <f>IFERROR(VLOOKUP(G55,$G$21:$H$25,2,),"")</f>
        <v/>
      </c>
      <c r="I55" s="67" t="n"/>
      <c r="J55" s="66">
        <f>IFERROR(F55*H55,"")</f>
        <v/>
      </c>
    </row>
    <row r="56">
      <c r="A56" s="59" t="n"/>
      <c r="B56" s="96" t="n"/>
      <c r="C56" s="61" t="n"/>
      <c r="D56" s="62" t="n"/>
      <c r="E56" s="62" t="n"/>
      <c r="F56" s="98">
        <f>IF(B56&gt;0,IF(E56=0,(1-D56)*24,(E56-D56)*24),0)</f>
        <v/>
      </c>
      <c r="G56" s="64" t="n"/>
      <c r="H56" s="99">
        <f>IFERROR(VLOOKUP(G56,$G$21:$H$25,2,),"")</f>
        <v/>
      </c>
      <c r="I56" s="67" t="n"/>
      <c r="J56" s="66">
        <f>IFERROR(F56*H56,"")</f>
        <v/>
      </c>
    </row>
    <row r="57">
      <c r="A57" s="39" t="n"/>
      <c r="B57" s="39" t="n"/>
      <c r="C57" s="39" t="n"/>
      <c r="D57" s="39" t="n"/>
      <c r="E57" s="26" t="n"/>
      <c r="F57" s="26" t="n"/>
      <c r="G57" s="26" t="n"/>
      <c r="H57" s="68" t="n"/>
      <c r="I57" s="40" t="inlineStr">
        <is>
          <t>Summation:</t>
        </is>
      </c>
      <c r="J57" s="101">
        <f>SUMIF(J26:J56,"&gt;0")</f>
        <v/>
      </c>
    </row>
    <row r="58">
      <c r="A58" s="39" t="n"/>
      <c r="B58" s="39" t="n"/>
      <c r="C58" s="39" t="n"/>
      <c r="D58" s="39" t="n"/>
      <c r="E58" s="26" t="n"/>
      <c r="F58" s="26" t="n"/>
      <c r="G58" s="26" t="n"/>
      <c r="H58" s="68" t="n"/>
      <c r="I58" s="34" t="n"/>
      <c r="J58" s="34" t="n"/>
    </row>
    <row r="59">
      <c r="A59" s="70" t="inlineStr">
        <is>
          <t>Übertrag in die Lohnbuchhaltung:</t>
        </is>
      </c>
      <c r="B59" s="71" t="n"/>
      <c r="C59" s="72" t="n"/>
      <c r="D59" s="72" t="n"/>
      <c r="E59" s="72" t="n"/>
      <c r="F59" s="72" t="n"/>
      <c r="G59" s="72" t="n"/>
      <c r="H59" s="73" t="n"/>
      <c r="I59" s="74" t="n"/>
      <c r="J59" s="102">
        <f>J57</f>
        <v/>
      </c>
    </row>
    <row r="60">
      <c r="A60" s="39" t="n"/>
      <c r="B60" s="39" t="n"/>
      <c r="C60" s="26" t="n"/>
      <c r="D60" s="26" t="n"/>
      <c r="E60" s="26" t="n"/>
      <c r="F60" s="26" t="n"/>
      <c r="G60" s="26" t="n"/>
      <c r="H60" s="68" t="n"/>
      <c r="I60" s="34" t="n"/>
      <c r="J60" s="103" t="n"/>
    </row>
    <row r="61">
      <c r="A61" s="77" t="n"/>
      <c r="B61" s="21" t="n"/>
      <c r="C61" s="21" t="n"/>
      <c r="D61" s="21" t="n"/>
      <c r="E61" s="21" t="n"/>
      <c r="F61" s="21" t="n"/>
      <c r="G61" s="78" t="inlineStr">
        <is>
          <t>Ich bestätige durch meine Unterschrift die Richtigkeit dieser Angaben:</t>
        </is>
      </c>
      <c r="H61" s="104" t="inlineStr">
        <is>
          <t>MNA</t>
        </is>
      </c>
      <c r="I61" s="105" t="n"/>
      <c r="J61" s="106" t="n"/>
    </row>
    <row r="62">
      <c r="A62" s="77" t="n"/>
      <c r="B62" s="21" t="n"/>
      <c r="C62" s="21" t="n"/>
      <c r="D62" s="21" t="n"/>
      <c r="E62" s="21" t="n"/>
      <c r="F62" s="21" t="n"/>
      <c r="G62" s="78" t="inlineStr">
        <is>
          <t>sachlich richtig (Unterschrift verantwortlicher Leiter):</t>
        </is>
      </c>
      <c r="H62" s="104" t="inlineStr">
        <is>
          <t>Datum / Unterschrift</t>
        </is>
      </c>
      <c r="I62" s="105" t="n"/>
      <c r="J62" s="106" t="n"/>
    </row>
  </sheetData>
  <mergeCells count="4">
    <mergeCell ref="H61:J61"/>
    <mergeCell ref="H11:J11"/>
    <mergeCell ref="H62:J62"/>
    <mergeCell ref="H12:J12"/>
  </mergeCells>
  <conditionalFormatting sqref="B26">
    <cfRule type="cellIs" priority="1" operator="between" stopIfTrue="1">
      <formula>0</formula>
      <formula>12</formula>
    </cfRule>
  </conditionalFormatting>
  <dataValidations count="3">
    <dataValidation sqref="D26:F26 E27:F56" showDropDown="0" showInputMessage="1" showErrorMessage="1" allowBlank="1" type="time">
      <formula1>0</formula1>
      <formula2>0.999305555555556</formula2>
    </dataValidation>
    <dataValidation sqref="G26:G56" showDropDown="0" showInputMessage="1" showErrorMessage="1" allowBlank="1" type="list">
      <formula1>$G$21:$G$25</formula1>
    </dataValidation>
    <dataValidation sqref="B26:B56" showDropDown="0" showInputMessage="1" showErrorMessage="1" allowBlank="1" type="whole">
      <formula1>1</formula1>
      <formula2>12</formula2>
    </dataValidation>
  </dataValidations>
  <pageMargins left="0.7" right="0.7" top="0.787401575" bottom="0.787401575" header="0.3" footer="0.3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Hinrichs Maike</dc:creator>
  <dcterms:created xmlns:dcterms="http://purl.org/dc/terms/" xmlns:xsi="http://www.w3.org/2001/XMLSchema-instance" xsi:type="dcterms:W3CDTF">2024-11-13T15:43:29Z</dcterms:created>
  <dcterms:modified xmlns:dcterms="http://purl.org/dc/terms/" xmlns:xsi="http://www.w3.org/2001/XMLSchema-instance" xsi:type="dcterms:W3CDTF">2026-08-11T12:12:29Z</dcterms:modified>
  <cp:lastModifiedBy>Kami</cp:lastModifiedBy>
  <cp:lastPrinted>2025-05-12T08:48:13Z</cp:lastPrinted>
</cp:coreProperties>
</file>